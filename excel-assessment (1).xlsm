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ddb8111609cba66/Documents/"/>
    </mc:Choice>
  </mc:AlternateContent>
  <xr:revisionPtr revIDLastSave="0" documentId="8_{838CA4F7-B206-47C4-A4A7-B6C6A3813B64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Sheet1" sheetId="23" r:id="rId8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6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8" i="16"/>
  <c r="B19" i="16"/>
  <c r="B20" i="16"/>
  <c r="B21" i="16"/>
  <c r="H16" i="23"/>
  <c r="F16" i="23"/>
  <c r="F10" i="23"/>
  <c r="H10" i="23" s="1"/>
  <c r="F12" i="23"/>
  <c r="C22" i="19" a="1"/>
  <c r="C22" i="19" s="1"/>
  <c r="F30" i="18"/>
  <c r="F29" i="18"/>
  <c r="F28" i="18"/>
  <c r="E30" i="18"/>
  <c r="E29" i="18"/>
  <c r="E28" i="18"/>
  <c r="E6" i="18"/>
  <c r="E7" i="18"/>
  <c r="D30" i="18"/>
  <c r="D29" i="18"/>
  <c r="D28" i="18"/>
  <c r="C6" i="18"/>
  <c r="C30" i="18" s="1"/>
  <c r="C7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3" i="1"/>
  <c r="Y4" i="1"/>
  <c r="Y5" i="1"/>
  <c r="Y6" i="1"/>
  <c r="Y2" i="1"/>
  <c r="H41" i="1"/>
  <c r="K10" i="23" l="1"/>
  <c r="G10" i="23"/>
  <c r="J10" i="23" s="1"/>
  <c r="I10" i="23"/>
  <c r="C28" i="18"/>
  <c r="C29" i="18"/>
</calcChain>
</file>

<file path=xl/sharedStrings.xml><?xml version="1.0" encoding="utf-8"?>
<sst xmlns="http://schemas.openxmlformats.org/spreadsheetml/2006/main" count="332" uniqueCount="187">
  <si>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</si>
  <si>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</si>
  <si>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</si>
  <si>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</si>
  <si>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</si>
  <si>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</si>
  <si>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</si>
  <si>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</si>
  <si>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</si>
  <si>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</si>
  <si>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</si>
  <si>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</si>
  <si>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</si>
  <si>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</si>
  <si>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</si>
  <si>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</si>
  <si>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</si>
  <si>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</si>
  <si>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</si>
  <si>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</si>
  <si>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</si>
  <si>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</si>
  <si>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</si>
  <si>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</si>
  <si>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</si>
  <si>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</si>
  <si>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</si>
  <si>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</si>
  <si>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</si>
  <si>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</si>
  <si>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</si>
  <si>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</si>
  <si>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</si>
  <si>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</si>
  <si>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</si>
  <si>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</si>
  <si>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</si>
  <si>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</si>
  <si>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</si>
  <si>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</si>
  <si>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</si>
  <si>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</si>
  <si>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</si>
  <si>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</si>
  <si>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</si>
  <si>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</si>
  <si>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</si>
  <si>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</si>
  <si>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</si>
  <si>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</si>
  <si>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</si>
  <si>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</si>
  <si>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</si>
  <si>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</si>
  <si>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</si>
  <si>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</si>
  <si>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</si>
  <si>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</si>
  <si>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</si>
  <si>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</si>
  <si>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</si>
  <si>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</si>
  <si>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</si>
  <si>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</si>
  <si>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</si>
  <si>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</si>
  <si>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</si>
  <si>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</si>
  <si>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</si>
  <si>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</si>
  <si>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</si>
  <si>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</si>
  <si>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</si>
  <si>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</si>
  <si>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</si>
  <si>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</si>
  <si>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</si>
  <si>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</si>
  <si>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</si>
  <si>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</si>
  <si>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</si>
  <si>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</si>
  <si>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</si>
  <si>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</si>
  <si>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</si>
  <si>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</si>
  <si>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</si>
  <si>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</si>
  <si>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</si>
  <si>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</si>
  <si>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</si>
  <si>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</si>
  <si>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</si>
  <si>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</si>
  <si>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</si>
  <si>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</si>
  <si>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</si>
  <si>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</si>
  <si>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</si>
  <si>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</si>
  <si>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</si>
  <si>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</si>
  <si>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</si>
  <si>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</si>
  <si>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</si>
  <si>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</si>
  <si>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</si>
  <si>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</si>
  <si>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</si>
  <si>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</si>
  <si>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</si>
  <si>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</si>
  <si>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</si>
  <si>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</si>
  <si>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</si>
  <si>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</si>
  <si>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</si>
  <si>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</si>
  <si>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</si>
  <si>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</si>
  <si>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</si>
  <si>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</si>
  <si>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</si>
  <si>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</si>
  <si>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</si>
  <si>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</si>
  <si>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</si>
  <si>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</si>
  <si>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</si>
  <si>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</si>
  <si>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</si>
  <si>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</si>
  <si>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</si>
  <si>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</si>
  <si>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</si>
  <si>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</si>
  <si>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</si>
  <si>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</si>
  <si>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</si>
  <si>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</si>
  <si>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</si>
  <si>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</si>
  <si>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</si>
  <si>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</si>
  <si>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</si>
  <si>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</si>
  <si>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</si>
  <si>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</si>
  <si>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</si>
  <si>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</si>
  <si>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</si>
  <si>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</si>
  <si>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</si>
  <si>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</si>
  <si>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</si>
  <si>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</si>
  <si>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</si>
  <si>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</si>
  <si>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</si>
  <si>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</si>
  <si>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</si>
  <si>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</si>
  <si>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</si>
  <si>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</si>
  <si>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</si>
  <si>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</si>
  <si>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</si>
  <si>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</si>
  <si>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</si>
  <si>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</si>
  <si>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</si>
  <si>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</si>
  <si>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</si>
  <si>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</si>
  <si>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</si>
  <si>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</si>
  <si>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</si>
  <si>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=SUMIF(H2:H36, "&gt;20")</t>
  </si>
  <si>
    <t>date-format</t>
  </si>
  <si>
    <t>ISNUMBER(A1:A11): Checks if each cell in the range is a number.</t>
  </si>
  <si>
    <t>IF(ISNUMBER(A1:A11), A1:A11, 20): If a cell is a number, it uses the original value; otherwise, it uses '20'.</t>
  </si>
  <si>
    <r>
      <t>SUM(IF(ISNUMBER(A1:A11), A1:A11, 20))</t>
    </r>
    <r>
      <rPr>
        <sz val="10"/>
        <color rgb="FF374151"/>
        <rFont val="Segoe UI"/>
        <family val="2"/>
      </rPr>
      <t>: Sums up the values, considering '20' for non-numeric cells.</t>
    </r>
  </si>
  <si>
    <t>After entering the formula with Ctrl+Shift+Enter, Excel will treat it as an array formula, and it should handle the #N/A errors by substituting them with '20' before performing the sum.</t>
  </si>
  <si>
    <t>Adjust the for</t>
  </si>
  <si>
    <t>shivam kumar pandey</t>
  </si>
  <si>
    <t>shivam-kumar</t>
  </si>
  <si>
    <t>2000-Monday-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</si>
</sst>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color rgb="FF000000"/>
      <name val="Courier New"/>
      <family val="3"/>
    </font>
    <font>
      <sz val="10"/>
      <color rgb="FF37415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8" fillId="0" borderId="0" xfId="0" applyFont="1"/>
    <xf numFmtId="0" fontId="19" fillId="0" borderId="0" xfId="0" applyFont="1" applyAlignment="1">
      <alignment vertical="center"/>
    </xf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zoomScaleNormal="100" workbookViewId="0">
      <pane ySplit="1" topLeftCell="A2" activePane="bottomLeft" state="frozen"/>
      <selection activeCell="N1" sqref="N1"/>
      <selection pane="bottomLeft" activeCell="K1" sqref="K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1.109375" style="1" customWidth="1"/>
    <col min="26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  <c r="Y1" s="3" t="s">
        <v>178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TEXT(X2,"yyyy-mm-dd")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TEXT(X3,"yyyy-mm-dd")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</row>
    <row r="41" spans="1:25" x14ac:dyDescent="0.3">
      <c r="H41" s="1">
        <f>SUMIF(H2:H36,"&gt;20")</f>
        <v>1176.0000000000002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2">
        <v>2.7</v>
      </c>
      <c r="C6" s="11">
        <f>VLOOKUP(A6,Dataset!$A$1:$X$40,14,0)</f>
        <v>7.6</v>
      </c>
      <c r="D6" s="11">
        <f>VLOOKUP(A6,Dataset!$A$1:$X$40,18,0)</f>
        <v>4.2</v>
      </c>
      <c r="E6" s="11">
        <f>VLOOKUP(A6,Dataset!$A$1:$X$40,20,0)</f>
        <v>8.9</v>
      </c>
      <c r="F6" s="8">
        <f>VLOOKUP(A6,Dataset!A1:$X$40,22,0)</f>
        <v>4.2</v>
      </c>
    </row>
    <row r="7" spans="1:7" ht="14.4" x14ac:dyDescent="0.3">
      <c r="A7" s="7" t="s">
        <v>4</v>
      </c>
      <c r="B7" s="2">
        <f>VLOOKUP(A7,Dataset!$A$1:$X$40,7,0)</f>
        <v>2.7</v>
      </c>
      <c r="C7" s="11">
        <f>VLOOKUP(A7,Dataset!$A$1:$X$40,14,0)</f>
        <v>7.6</v>
      </c>
      <c r="D7" s="11">
        <f>VLOOKUP(A7,Dataset!$A$1:$X$40,18,0)</f>
        <v>4.2</v>
      </c>
      <c r="E7" s="11">
        <f>VLOOKUP(A7,Dataset!$A$1:$X$40,20,0)</f>
        <v>8.9</v>
      </c>
      <c r="F7" s="8">
        <f>VLOOKUP(A7,Dataset!A2:$X$40,22,0)</f>
        <v>4.2</v>
      </c>
    </row>
    <row r="8" spans="1:7" ht="14.4" x14ac:dyDescent="0.3">
      <c r="A8" s="7" t="s">
        <v>7</v>
      </c>
      <c r="B8" s="2">
        <f>VLOOKUP(A8,Dataset!$A$1:$X$40,7,0)</f>
        <v>3.6</v>
      </c>
      <c r="C8" s="11">
        <f>VLOOKUP(A8,Dataset!$A$1:$X$40,14,0)</f>
        <v>11.1</v>
      </c>
      <c r="D8" s="11">
        <f>VLOOKUP(A8,Dataset!$A$1:$X$40,18,0)</f>
        <v>5.8</v>
      </c>
      <c r="E8" s="11">
        <f>VLOOKUP(A8,Dataset!$A$1:$X$40,20,0)</f>
        <v>12.2</v>
      </c>
      <c r="F8" s="8">
        <f>VLOOKUP(A8,Dataset!A3:$X$40,22,0)</f>
        <v>5.8</v>
      </c>
    </row>
    <row r="9" spans="1:7" ht="14.4" x14ac:dyDescent="0.3">
      <c r="A9" s="7" t="s">
        <v>8</v>
      </c>
      <c r="B9" s="2">
        <f>VLOOKUP(A9,Dataset!$A$1:$X$40,7,0)</f>
        <v>4.9000000000000004</v>
      </c>
      <c r="C9" s="11">
        <f>VLOOKUP(A9,Dataset!$A$1:$X$40,14,0)</f>
        <v>13.3</v>
      </c>
      <c r="D9" s="11">
        <f>VLOOKUP(A9,Dataset!$A$1:$X$40,18,0)</f>
        <v>8.1</v>
      </c>
      <c r="E9" s="11">
        <f>VLOOKUP(A9,Dataset!$A$1:$X$40,20,0)</f>
        <v>17</v>
      </c>
      <c r="F9" s="8">
        <f>VLOOKUP(A9,Dataset!A4:$X$40,22,0)</f>
        <v>8.1</v>
      </c>
    </row>
    <row r="10" spans="1:7" ht="14.4" x14ac:dyDescent="0.3">
      <c r="A10" s="7" t="s">
        <v>11</v>
      </c>
      <c r="B10" s="2">
        <f>VLOOKUP(A10,Dataset!$A$1:$X$40,7,0)</f>
        <v>9.4</v>
      </c>
      <c r="C10" s="11">
        <f>VLOOKUP(A10,Dataset!$A$1:$X$40,14,0)</f>
        <v>28.3</v>
      </c>
      <c r="D10" s="11">
        <f>VLOOKUP(A10,Dataset!$A$1:$X$40,18,0)</f>
        <v>16.100000000000001</v>
      </c>
      <c r="E10" s="11">
        <f>VLOOKUP(A10,Dataset!$A$1:$X$40,20,0)</f>
        <v>32.799999999999997</v>
      </c>
      <c r="F10" s="8">
        <f>VLOOKUP(A10,Dataset!A5:$X$40,22,0)</f>
        <v>16.100000000000001</v>
      </c>
    </row>
    <row r="11" spans="1:7" ht="14.4" x14ac:dyDescent="0.3">
      <c r="A11" s="7" t="s">
        <v>12</v>
      </c>
      <c r="B11" s="2">
        <f>VLOOKUP(A11,Dataset!$A$1:$X$40,7,0)</f>
        <v>11.6</v>
      </c>
      <c r="C11" s="11">
        <f>VLOOKUP(A11,Dataset!$A$1:$X$40,14,0)</f>
        <v>35.200000000000003</v>
      </c>
      <c r="D11" s="11">
        <f>VLOOKUP(A11,Dataset!$A$1:$X$40,18,0)</f>
        <v>21.3</v>
      </c>
      <c r="E11" s="11">
        <f>VLOOKUP(A11,Dataset!$A$1:$X$40,20,0)</f>
        <v>43</v>
      </c>
      <c r="F11" s="8">
        <f>VLOOKUP(A11,Dataset!A6:$X$40,22,0)</f>
        <v>21.3</v>
      </c>
    </row>
    <row r="12" spans="1:7" ht="14.4" x14ac:dyDescent="0.3">
      <c r="A12" s="7" t="s">
        <v>14</v>
      </c>
      <c r="B12" s="2">
        <f>VLOOKUP(A12,Dataset!$A$1:$X$40,7,0)</f>
        <v>18.399999999999999</v>
      </c>
      <c r="C12" s="11">
        <f>VLOOKUP(A12,Dataset!$A$1:$X$40,14,0)</f>
        <v>55.6</v>
      </c>
      <c r="D12" s="11">
        <f>VLOOKUP(A12,Dataset!$A$1:$X$40,18,0)</f>
        <v>33.799999999999997</v>
      </c>
      <c r="E12" s="11">
        <f>VLOOKUP(A12,Dataset!$A$1:$X$40,20,0)</f>
        <v>67.900000000000006</v>
      </c>
      <c r="F12" s="8">
        <f>VLOOKUP(A12,Dataset!A7:$X$40,22,0)</f>
        <v>33.799999999999997</v>
      </c>
    </row>
    <row r="13" spans="1:7" ht="14.4" x14ac:dyDescent="0.3">
      <c r="A13" s="7" t="s">
        <v>15</v>
      </c>
      <c r="B13" s="2">
        <f>VLOOKUP(A13,Dataset!$A$1:$X$40,7,0)</f>
        <v>0</v>
      </c>
      <c r="C13" s="11">
        <f>VLOOKUP(A13,Dataset!$A$1:$X$40,14,0)</f>
        <v>0</v>
      </c>
      <c r="D13" s="11">
        <f>VLOOKUP(A13,Dataset!$A$1:$X$40,18,0)</f>
        <v>0</v>
      </c>
      <c r="E13" s="11">
        <f>VLOOKUP(A13,Dataset!$A$1:$X$40,20,0)</f>
        <v>0</v>
      </c>
      <c r="F13" s="8">
        <f>VLOOKUP(A13,Dataset!A8:$X$40,22,0)</f>
        <v>0</v>
      </c>
    </row>
    <row r="14" spans="1:7" ht="14.4" x14ac:dyDescent="0.3">
      <c r="A14" s="7" t="s">
        <v>16</v>
      </c>
      <c r="B14" s="2">
        <f>VLOOKUP(A14,Dataset!$A$1:$X$40,7,0)</f>
        <v>21.9</v>
      </c>
      <c r="C14" s="11">
        <f>VLOOKUP(A14,Dataset!$A$1:$X$40,14,0)</f>
        <v>61.5</v>
      </c>
      <c r="D14" s="11">
        <f>VLOOKUP(A14,Dataset!$A$1:$X$40,18,0)</f>
        <v>40.1</v>
      </c>
      <c r="E14" s="11">
        <f>VLOOKUP(A14,Dataset!$A$1:$X$40,20,0)</f>
        <v>76.599999999999994</v>
      </c>
      <c r="F14" s="8">
        <f>VLOOKUP(A14,Dataset!A9:$X$40,22,0)</f>
        <v>40.1</v>
      </c>
    </row>
    <row r="15" spans="1:7" ht="14.4" x14ac:dyDescent="0.3">
      <c r="A15" s="7" t="s">
        <v>18</v>
      </c>
      <c r="B15" s="2">
        <f>VLOOKUP(A15,Dataset!$A$1:$X$40,7,0)</f>
        <v>26.8</v>
      </c>
      <c r="C15" s="11">
        <f>VLOOKUP(A15,Dataset!$A$1:$X$40,14,0)</f>
        <v>79.599999999999994</v>
      </c>
      <c r="D15" s="11">
        <f>VLOOKUP(A15,Dataset!$A$1:$X$40,18,0)</f>
        <v>47.9</v>
      </c>
      <c r="E15" s="11">
        <f>VLOOKUP(A15,Dataset!$A$1:$X$40,20,0)</f>
        <v>96.8</v>
      </c>
      <c r="F15" s="8">
        <f>VLOOKUP(A15,Dataset!A10:$X$40,22,0)</f>
        <v>47.9</v>
      </c>
    </row>
    <row r="16" spans="1:7" ht="14.4" x14ac:dyDescent="0.3">
      <c r="A16" s="7" t="s">
        <v>20</v>
      </c>
      <c r="B16" s="2">
        <f>VLOOKUP(A16,Dataset!$A$1:$X$40,7,0)</f>
        <v>28.5</v>
      </c>
      <c r="C16" s="11">
        <f>VLOOKUP(A16,Dataset!$A$1:$X$40,14,0)</f>
        <v>85.4</v>
      </c>
      <c r="D16" s="11">
        <f>VLOOKUP(A16,Dataset!$A$1:$X$40,18,0)</f>
        <v>52.3</v>
      </c>
      <c r="E16" s="11">
        <f>VLOOKUP(A16,Dataset!$A$1:$X$40,20,0)</f>
        <v>106.1</v>
      </c>
      <c r="F16" s="8">
        <f>VLOOKUP(A16,Dataset!A11:$X$40,22,0)</f>
        <v>52.3</v>
      </c>
    </row>
    <row r="17" spans="1:6" ht="14.4" x14ac:dyDescent="0.3">
      <c r="A17" s="7" t="s">
        <v>22</v>
      </c>
      <c r="B17" s="2">
        <f>VLOOKUP(A17,Dataset!$A$1:$X$40,7,0)</f>
        <v>30.7</v>
      </c>
      <c r="C17" s="11">
        <f>VLOOKUP(A17,Dataset!$A$1:$X$40,14,0)</f>
        <v>92.1</v>
      </c>
      <c r="D17" s="11">
        <f>VLOOKUP(A17,Dataset!$A$1:$X$40,18,0)</f>
        <v>57</v>
      </c>
      <c r="E17" s="11">
        <f>VLOOKUP(A17,Dataset!$A$1:$X$40,20,0)</f>
        <v>115.1</v>
      </c>
      <c r="F17" s="8">
        <f>VLOOKUP(A17,Dataset!A12:$X$40,22,0)</f>
        <v>57</v>
      </c>
    </row>
    <row r="18" spans="1:6" ht="14.4" x14ac:dyDescent="0.3">
      <c r="A18" s="7" t="s">
        <v>23</v>
      </c>
      <c r="B18" s="2">
        <f>VLOOKUP(A18,Dataset!$A$1:$X$40,7,0)</f>
        <v>33.799999999999997</v>
      </c>
      <c r="C18" s="11">
        <f>VLOOKUP(A18,Dataset!$A$1:$X$40,14,0)</f>
        <v>101.3</v>
      </c>
      <c r="D18" s="11">
        <f>VLOOKUP(A18,Dataset!$A$1:$X$40,18,0)</f>
        <v>61.4</v>
      </c>
      <c r="E18" s="11">
        <f>VLOOKUP(A18,Dataset!$A$1:$X$40,20,0)</f>
        <v>124.4</v>
      </c>
      <c r="F18" s="8">
        <f>VLOOKUP(A18,Dataset!A13:$X$40,22,0)</f>
        <v>61.4</v>
      </c>
    </row>
    <row r="19" spans="1:6" ht="14.4" x14ac:dyDescent="0.3">
      <c r="A19" s="7" t="s">
        <v>24</v>
      </c>
      <c r="B19" s="2">
        <f>VLOOKUP(A19,Dataset!$A$1:$X$40,7,0)</f>
        <v>34.700000000000003</v>
      </c>
      <c r="C19" s="11">
        <f>VLOOKUP(A19,Dataset!$A$1:$X$40,14,0)</f>
        <v>106.1</v>
      </c>
      <c r="D19" s="11">
        <f>VLOOKUP(A19,Dataset!$A$1:$X$40,18,0)</f>
        <v>63.6</v>
      </c>
      <c r="E19" s="11">
        <f>VLOOKUP(A19,Dataset!$A$1:$X$40,20,0)</f>
        <v>128.6</v>
      </c>
      <c r="F19" s="8">
        <f>VLOOKUP(A19,Dataset!A14:$X$40,22,0)</f>
        <v>63.6</v>
      </c>
    </row>
    <row r="20" spans="1:6" ht="14.4" x14ac:dyDescent="0.3">
      <c r="A20" s="7" t="s">
        <v>28</v>
      </c>
      <c r="B20" s="2">
        <f>VLOOKUP(A20,Dataset!$A$1:$X$40,7,0)</f>
        <v>0</v>
      </c>
      <c r="C20" s="11">
        <f>VLOOKUP(A20,Dataset!$A$1:$X$40,14,0)</f>
        <v>0</v>
      </c>
      <c r="D20" s="11">
        <f>VLOOKUP(A20,Dataset!$A$1:$X$40,18,0)</f>
        <v>0</v>
      </c>
      <c r="E20" s="11">
        <f>VLOOKUP(A20,Dataset!$A$1:$X$40,20,0)</f>
        <v>0</v>
      </c>
      <c r="F20" s="8">
        <f>VLOOKUP(A20,Dataset!A15:$X$40,22,0)</f>
        <v>0</v>
      </c>
    </row>
    <row r="21" spans="1:6" ht="14.4" x14ac:dyDescent="0.3">
      <c r="A21" s="7" t="s">
        <v>57</v>
      </c>
      <c r="B21" s="2">
        <f>VLOOKUP(A21,Dataset!$A$1:$X$40,7,0)</f>
        <v>41.3</v>
      </c>
      <c r="C21" s="11">
        <f>VLOOKUP(A21,Dataset!$A$1:$X$40,14,0)</f>
        <v>124.4</v>
      </c>
      <c r="D21" s="11">
        <f>VLOOKUP(A21,Dataset!$A$1:$X$40,18,0)</f>
        <v>75</v>
      </c>
      <c r="E21" s="11">
        <f>VLOOKUP(A21,Dataset!$A$1:$X$40,20,0)</f>
        <v>151.5</v>
      </c>
      <c r="F21" s="8">
        <f>VLOOKUP(A21,Dataset!A16:$X$40,22,0)</f>
        <v>75</v>
      </c>
    </row>
    <row r="22" spans="1:6" ht="14.4" x14ac:dyDescent="0.3">
      <c r="A22" s="7" t="s">
        <v>58</v>
      </c>
      <c r="B22" s="2">
        <f>VLOOKUP(A22,Dataset!$A$1:$X$40,7,0)</f>
        <v>-1</v>
      </c>
      <c r="C22" s="11">
        <f>VLOOKUP(A22,Dataset!$A$1:$X$40,14,0)</f>
        <v>-1</v>
      </c>
      <c r="D22" s="11">
        <f>VLOOKUP(A22,Dataset!$A$1:$X$40,18,0)</f>
        <v>-1</v>
      </c>
      <c r="E22" s="11">
        <f>VLOOKUP(A22,Dataset!$A$1:$X$40,20,0)</f>
        <v>-1</v>
      </c>
      <c r="F22" s="8">
        <f>VLOOKUP(A22,Dataset!A17:$X$40,22,0)</f>
        <v>-1</v>
      </c>
    </row>
    <row r="23" spans="1:6" ht="14.4" x14ac:dyDescent="0.3">
      <c r="A23" s="7" t="s">
        <v>31</v>
      </c>
      <c r="B23" s="2">
        <f>VLOOKUP(A23,Dataset!$A$1:$X$40,7,0)</f>
        <v>45</v>
      </c>
      <c r="C23" s="11">
        <f>VLOOKUP(A23,Dataset!$A$1:$X$40,14,0)</f>
        <v>133.4</v>
      </c>
      <c r="D23" s="11">
        <f>VLOOKUP(A23,Dataset!$A$1:$X$40,18,0)</f>
        <v>79.400000000000006</v>
      </c>
      <c r="E23" s="11">
        <f>VLOOKUP(A23,Dataset!$A$1:$X$40,20,0)</f>
        <v>160.9</v>
      </c>
      <c r="F23" s="8">
        <f>VLOOKUP(A23,Dataset!A18:$X$40,22,0)</f>
        <v>79.400000000000006</v>
      </c>
    </row>
    <row r="24" spans="1:6" ht="14.4" x14ac:dyDescent="0.3">
      <c r="A24" s="7" t="s">
        <v>32</v>
      </c>
      <c r="B24" s="2">
        <f>VLOOKUP(A24,Dataset!$A$1:$X$40,7,0)</f>
        <v>-1</v>
      </c>
      <c r="C24" s="11">
        <f>VLOOKUP(A24,Dataset!$A$1:$X$40,14,0)</f>
        <v>-1</v>
      </c>
      <c r="D24" s="11">
        <f>VLOOKUP(A24,Dataset!$A$1:$X$40,18,0)</f>
        <v>-1</v>
      </c>
      <c r="E24" s="11">
        <f>VLOOKUP(A24,Dataset!$A$1:$X$40,20,0)</f>
        <v>-1</v>
      </c>
      <c r="F24" s="8">
        <f>VLOOKUP(A24,Dataset!A19:$X$40,22,0)</f>
        <v>-1</v>
      </c>
    </row>
    <row r="25" spans="1:6" ht="14.4" x14ac:dyDescent="0.3">
      <c r="A25" s="7" t="s">
        <v>34</v>
      </c>
      <c r="B25" s="2">
        <f>VLOOKUP(A25,Dataset!$A$1:$X$40,7,0)</f>
        <v>43.3</v>
      </c>
      <c r="C25" s="11">
        <f>VLOOKUP(A25,Dataset!$A$1:$X$40,14,0)</f>
        <v>128.6</v>
      </c>
      <c r="D25" s="11">
        <f>VLOOKUP(A25,Dataset!$A$1:$X$40,18,0)</f>
        <v>79.400000000000006</v>
      </c>
      <c r="E25" s="11">
        <f>VLOOKUP(A25,Dataset!$A$1:$X$40,20,0)</f>
        <v>160.9</v>
      </c>
      <c r="F25" s="8">
        <f>VLOOKUP(A25,Dataset!A20:$X$40,22,0)</f>
        <v>79.400000000000006</v>
      </c>
    </row>
    <row r="26" spans="1:6" ht="14.4" x14ac:dyDescent="0.3">
      <c r="A26" s="7" t="s">
        <v>37</v>
      </c>
      <c r="B26" s="2">
        <f>VLOOKUP(A26,Dataset!$A$1:$X$40,7,0)</f>
        <v>49.1</v>
      </c>
      <c r="C26" s="11">
        <f>VLOOKUP(A26,Dataset!$A$1:$X$40,14,0)</f>
        <v>146.80000000000001</v>
      </c>
      <c r="D26" s="11">
        <f>VLOOKUP(A26,Dataset!$A$1:$X$40,18,0)</f>
        <v>90.9</v>
      </c>
      <c r="E26" s="11">
        <f>VLOOKUP(A26,Dataset!$A$1:$X$40,20,0)</f>
        <v>183.5</v>
      </c>
      <c r="F26" s="8">
        <f>VLOOKUP(A26,Dataset!A21:$X$40,22,0)</f>
        <v>90.9</v>
      </c>
    </row>
    <row r="27" spans="1:6" ht="14.4" x14ac:dyDescent="0.3">
      <c r="A27" s="7" t="s">
        <v>39</v>
      </c>
      <c r="B27" s="2">
        <f>VLOOKUP(A27,Dataset!$A$1:$X$40,7,0)</f>
        <v>51.8</v>
      </c>
      <c r="C27" s="11">
        <f>VLOOKUP(A27,Dataset!$A$1:$X$40,14,0)</f>
        <v>156.4</v>
      </c>
      <c r="D27" s="11">
        <f>VLOOKUP(A27,Dataset!$A$1:$X$40,18,0)</f>
        <v>93.1</v>
      </c>
      <c r="E27" s="11">
        <f>VLOOKUP(A27,Dataset!$A$1:$X$40,20,0)</f>
        <v>188.1</v>
      </c>
      <c r="F27" s="8">
        <f>VLOOKUP(A27,Dataset!A22:$X$40,22,0)</f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MIN(F1:F27)</f>
        <v>-1</v>
      </c>
    </row>
    <row r="29" spans="1:6" ht="14.4" x14ac:dyDescent="0.3">
      <c r="A29" s="18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MAX(E1:E27)</f>
        <v>188.1</v>
      </c>
      <c r="F29" s="31">
        <f>MAX(F1:F27)</f>
        <v>93.1</v>
      </c>
    </row>
    <row r="30" spans="1:6" ht="14.4" x14ac:dyDescent="0.3">
      <c r="A30" s="18" t="s">
        <v>84</v>
      </c>
      <c r="B30" s="31">
        <f>AVERAGE(B6:B27)</f>
        <v>20.827272727272728</v>
      </c>
      <c r="C30" s="31">
        <f>AVERAGE(C6)</f>
        <v>7.6</v>
      </c>
      <c r="D30" s="31">
        <f>AVERAGE(D6:D27)</f>
        <v>37.800000000000004</v>
      </c>
      <c r="E30" s="31">
        <f>AVERAGE(E1:E27)</f>
        <v>76.418181818181822</v>
      </c>
      <c r="F30" s="31">
        <f>AVERAGE(F1:F27)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9" zoomScaleNormal="100" workbookViewId="0">
      <selection activeCell="G52" sqref="G5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LEFT(A16,FIND("-",A16)-1)</f>
        <v>20000</v>
      </c>
      <c r="C16" s="1" t="str">
        <f>MID(A16, FIND("-", A16) + 1, FIND("-", MID(A16, FIND("-", A16) + 1, LEN(A16)))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SEARCH("-",A16,SEARCH("-",A16,SEARCH("-",A16)+1)+1)+1,SEARCH("-",A16,SEARCH("-",A16,SEARCH("-",A16,SEARCH("-",A16)+1)+1)+1)-SEARCH("-",A16,SEARCH("-",A16,SEARCH("-",A16)+1)+1)-1)</f>
        <v>Sunday</v>
      </c>
      <c r="F16" s="11" t="str">
        <f>RIGHT(A16,LEN(A16)-22)</f>
        <v>24</v>
      </c>
    </row>
    <row r="17" spans="1:6" x14ac:dyDescent="0.3">
      <c r="A17" s="7" t="s">
        <v>122</v>
      </c>
      <c r="B17" s="11" t="str">
        <f t="shared" ref="B17:B54" si="0">LEFT(A17,FIND("-",A17)-1)</f>
        <v>20002</v>
      </c>
      <c r="C17" s="1" t="str">
        <f t="shared" ref="C17:C54" si="1">MID(A17, FIND("-", A17) + 1, FIND("-", MID(A17, FIND("-", A17) + 1, LEN(A17)))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SEARCH("-",A17,SEARCH("-",A17,SEARCH("-",A17)+1)+1)+1,SEARCH("-",A17,SEARCH("-",A17,SEARCH("-",A17,SEARCH("-",A17)+1)+1)+1)-SEARCH("-",A17,SEARCH("-",A17,SEARCH("-",A17)+1)+1)-1)</f>
        <v>Sunday</v>
      </c>
      <c r="F17" s="11" t="str">
        <f t="shared" ref="F17:F54" si="4">RIGHT(A17,LEN(A17)-22)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3"/>
  <sheetViews>
    <sheetView topLeftCell="A2" zoomScale="114" zoomScaleNormal="114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58.77734375" style="2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5" ht="21" x14ac:dyDescent="0.4">
      <c r="A1" s="42" t="s">
        <v>85</v>
      </c>
      <c r="B1" s="41" t="s">
        <v>167</v>
      </c>
    </row>
    <row r="2" spans="1:5" ht="18" x14ac:dyDescent="0.35">
      <c r="B2" s="40" t="s">
        <v>166</v>
      </c>
    </row>
    <row r="5" spans="1:5" ht="14.4" x14ac:dyDescent="0.3">
      <c r="B5" s="1" t="s">
        <v>151</v>
      </c>
    </row>
    <row r="6" spans="1:5" ht="14.4" x14ac:dyDescent="0.3">
      <c r="A6" s="3" t="s">
        <v>53</v>
      </c>
      <c r="B6" s="1"/>
    </row>
    <row r="7" spans="1:5" ht="14.4" x14ac:dyDescent="0.3">
      <c r="A7" s="3" t="s">
        <v>153</v>
      </c>
      <c r="B7" s="1"/>
    </row>
    <row r="10" spans="1:5" ht="23.4" x14ac:dyDescent="0.45">
      <c r="A10" s="17" t="s">
        <v>162</v>
      </c>
    </row>
    <row r="11" spans="1:5" ht="14.4" x14ac:dyDescent="0.3">
      <c r="A11" s="32" t="s">
        <v>86</v>
      </c>
      <c r="B11" s="16" t="s">
        <v>87</v>
      </c>
      <c r="C11" s="16" t="s">
        <v>88</v>
      </c>
    </row>
    <row r="12" spans="1:5" ht="14.4" x14ac:dyDescent="0.3">
      <c r="A12" s="32">
        <v>44927</v>
      </c>
      <c r="B12" s="16" t="s">
        <v>59</v>
      </c>
      <c r="C12" s="16">
        <v>200</v>
      </c>
    </row>
    <row r="13" spans="1:5" ht="14.4" x14ac:dyDescent="0.3">
      <c r="A13" s="32">
        <v>44928</v>
      </c>
      <c r="B13" s="16" t="s">
        <v>60</v>
      </c>
      <c r="C13" s="16" t="e">
        <v>#N/A</v>
      </c>
    </row>
    <row r="14" spans="1:5" ht="14.4" x14ac:dyDescent="0.3">
      <c r="A14" s="32">
        <v>44929</v>
      </c>
      <c r="B14" s="16" t="s">
        <v>61</v>
      </c>
      <c r="C14" s="16">
        <v>50</v>
      </c>
    </row>
    <row r="15" spans="1:5" ht="14.4" x14ac:dyDescent="0.3">
      <c r="A15" s="32">
        <v>44930</v>
      </c>
      <c r="B15" s="16" t="s">
        <v>62</v>
      </c>
      <c r="C15" s="16" t="e">
        <v>#N/A</v>
      </c>
      <c r="E15" s="2" t="s">
        <v>179</v>
      </c>
    </row>
    <row r="16" spans="1:5" ht="14.4" x14ac:dyDescent="0.3">
      <c r="A16" s="32">
        <v>44931</v>
      </c>
      <c r="B16" s="16" t="s">
        <v>63</v>
      </c>
      <c r="C16" s="16">
        <v>10</v>
      </c>
    </row>
    <row r="17" spans="1:5" ht="14.4" x14ac:dyDescent="0.3">
      <c r="A17" s="32">
        <v>44932</v>
      </c>
      <c r="B17" s="16" t="s">
        <v>154</v>
      </c>
      <c r="C17" s="16">
        <v>150</v>
      </c>
      <c r="E17" s="2" t="s">
        <v>180</v>
      </c>
    </row>
    <row r="18" spans="1:5" ht="14.4" x14ac:dyDescent="0.3">
      <c r="A18" s="32">
        <v>44933</v>
      </c>
      <c r="B18" s="16" t="s">
        <v>155</v>
      </c>
      <c r="C18" s="16">
        <v>80</v>
      </c>
    </row>
    <row r="19" spans="1:5" ht="15" x14ac:dyDescent="0.35">
      <c r="A19" s="32">
        <v>44934</v>
      </c>
      <c r="B19" s="16" t="s">
        <v>156</v>
      </c>
      <c r="C19" s="16" t="e">
        <v>#N/A</v>
      </c>
      <c r="E19" s="46" t="s">
        <v>181</v>
      </c>
    </row>
    <row r="20" spans="1:5" ht="14.4" x14ac:dyDescent="0.3">
      <c r="A20" s="32">
        <v>44935</v>
      </c>
      <c r="B20" s="16" t="s">
        <v>157</v>
      </c>
      <c r="C20" s="16">
        <v>30</v>
      </c>
    </row>
    <row r="21" spans="1:5" ht="15" x14ac:dyDescent="0.3">
      <c r="A21" s="32">
        <v>44936</v>
      </c>
      <c r="B21" s="16" t="s">
        <v>158</v>
      </c>
      <c r="C21" s="16" t="e">
        <v>#N/A</v>
      </c>
      <c r="E21" s="47" t="s">
        <v>182</v>
      </c>
    </row>
    <row r="22" spans="1:5" ht="14.4" x14ac:dyDescent="0.3">
      <c r="B22" s="16" t="s">
        <v>159</v>
      </c>
      <c r="C22" s="24">
        <f t="array" ref="C22">SUM(IF(ISNUMBER(C12:C21),C12:C21,20))</f>
        <v>600</v>
      </c>
      <c r="E22"/>
    </row>
    <row r="23" spans="1:5" ht="15" x14ac:dyDescent="0.3">
      <c r="E23" s="47" t="s">
        <v>183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8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 t="e">
        <f>VLOOKUP(A23,$M$9:$N$18, 2, FALSE) + VLOOKUP(B23,$A$9:$J$18, 2, FALSE)</f>
        <v>#VALUE!</v>
      </c>
    </row>
    <row r="24" spans="1:14" ht="14.4" x14ac:dyDescent="0.3">
      <c r="A24" s="7">
        <v>10100</v>
      </c>
      <c r="B24" s="11">
        <v>10104</v>
      </c>
      <c r="C24" s="44"/>
    </row>
    <row r="25" spans="1:14" ht="14.4" x14ac:dyDescent="0.3">
      <c r="A25" s="7">
        <v>10108</v>
      </c>
      <c r="B25" s="11">
        <v>10102</v>
      </c>
      <c r="C25" s="44"/>
    </row>
    <row r="26" spans="1:14" ht="14.4" x14ac:dyDescent="0.3">
      <c r="A26" s="7">
        <v>10100</v>
      </c>
      <c r="B26" s="11">
        <v>10106</v>
      </c>
      <c r="C26" s="44"/>
    </row>
    <row r="27" spans="1:14" ht="14.4" x14ac:dyDescent="0.3">
      <c r="A27" s="7">
        <v>10108</v>
      </c>
      <c r="B27" s="11">
        <v>10110</v>
      </c>
      <c r="C27" s="44"/>
    </row>
    <row r="28" spans="1:14" ht="14.4" x14ac:dyDescent="0.3">
      <c r="A28" s="7">
        <v>10102</v>
      </c>
      <c r="B28" s="11">
        <v>10104</v>
      </c>
      <c r="C28" s="44"/>
    </row>
    <row r="29" spans="1:14" ht="14.4" x14ac:dyDescent="0.3">
      <c r="A29" s="7">
        <v>10106</v>
      </c>
      <c r="B29" s="11">
        <v>10108</v>
      </c>
      <c r="C29" s="44"/>
    </row>
    <row r="30" spans="1:14" ht="14.4" x14ac:dyDescent="0.3">
      <c r="A30" s="7">
        <v>10102</v>
      </c>
      <c r="B30" s="11">
        <v>10106</v>
      </c>
      <c r="C30" s="44"/>
    </row>
    <row r="31" spans="1:14" ht="14.4" x14ac:dyDescent="0.3">
      <c r="A31" s="7">
        <v>10110</v>
      </c>
      <c r="B31" s="11">
        <v>10114</v>
      </c>
      <c r="C31" s="44"/>
    </row>
    <row r="32" spans="1:14" ht="14.4" x14ac:dyDescent="0.3">
      <c r="A32" s="7">
        <v>10104</v>
      </c>
      <c r="B32" s="11">
        <v>10106</v>
      </c>
      <c r="C32" s="44"/>
    </row>
    <row r="33" spans="1:3" ht="14.4" x14ac:dyDescent="0.3">
      <c r="A33" s="7">
        <v>10110</v>
      </c>
      <c r="B33" s="11">
        <v>10112</v>
      </c>
      <c r="C33" s="44"/>
    </row>
    <row r="34" spans="1:3" ht="14.4" x14ac:dyDescent="0.3">
      <c r="A34" s="7">
        <v>10100</v>
      </c>
      <c r="B34" s="11">
        <v>10114</v>
      </c>
      <c r="C34" s="44"/>
    </row>
    <row r="35" spans="1:3" ht="14.4" x14ac:dyDescent="0.3">
      <c r="A35" s="9">
        <v>10112</v>
      </c>
      <c r="B35" s="12">
        <v>10116</v>
      </c>
      <c r="C35" s="4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90C4-3B08-4123-9A61-F5E259916EA1}">
  <dimension ref="D10:K16"/>
  <sheetViews>
    <sheetView workbookViewId="0">
      <selection activeCell="J10" sqref="J10"/>
    </sheetView>
  </sheetViews>
  <sheetFormatPr defaultRowHeight="13.2" x14ac:dyDescent="0.25"/>
  <cols>
    <col min="4" max="4" width="17.33203125" customWidth="1"/>
  </cols>
  <sheetData>
    <row r="10" spans="4:11" x14ac:dyDescent="0.25">
      <c r="D10" s="48" t="s">
        <v>184</v>
      </c>
      <c r="F10">
        <f>FIND(" ",D10,1)</f>
        <v>7</v>
      </c>
      <c r="G10">
        <f>FIND(" ",D10,F10+1)</f>
        <v>13</v>
      </c>
      <c r="H10" t="str">
        <f>LEFT(D10,F10-1)</f>
        <v>shivam</v>
      </c>
      <c r="I10" t="str">
        <f>MID(D10,F10+1,G10-F10-1)</f>
        <v>kumar</v>
      </c>
      <c r="J10" t="str">
        <f>RIGHT(D10,LEN(D10)-G10)</f>
        <v>pandey</v>
      </c>
      <c r="K10" t="str">
        <f>H10&amp;" "&amp;I10&amp;" "&amp;J10</f>
        <v>shivam kumar pandey</v>
      </c>
    </row>
    <row r="12" spans="4:11" x14ac:dyDescent="0.25">
      <c r="D12" s="48" t="s">
        <v>185</v>
      </c>
      <c r="F12">
        <f>FIND("-",D12,1)</f>
        <v>7</v>
      </c>
    </row>
    <row r="16" spans="4:11" x14ac:dyDescent="0.25">
      <c r="D16" s="48" t="s">
        <v>186</v>
      </c>
      <c r="F16">
        <f>FIND("-",D16,1)</f>
        <v>5</v>
      </c>
      <c r="H16" t="str">
        <f>LEFT(D16,LEN(D16)-7)</f>
        <v>2000-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Shivam Pandey</cp:lastModifiedBy>
  <dcterms:created xsi:type="dcterms:W3CDTF">2015-02-10T17:33:11Z</dcterms:created>
  <dcterms:modified xsi:type="dcterms:W3CDTF">2023-12-10T18:08:44Z</dcterms:modified>
</cp:coreProperties>
</file>